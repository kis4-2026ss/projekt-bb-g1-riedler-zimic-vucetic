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hooe-my.sharepoint.com/personal/s2410307049_fhooe_at/Documents/4. Semester/04_KIS4IL/UE/Projekt/"/>
    </mc:Choice>
  </mc:AlternateContent>
  <xr:revisionPtr revIDLastSave="0" documentId="14_{9764E2B5-B6B5-4B72-AE8F-0BF732E3B4FA}" xr6:coauthVersionLast="47" xr6:coauthVersionMax="47" xr10:uidLastSave="{00000000-0000-0000-0000-000000000000}"/>
  <bookViews>
    <workbookView xWindow="-98" yWindow="13403" windowWidth="21795" windowHeight="12975" xr2:uid="{8BC1D5D2-8475-46C6-89DA-92D5FDEC4690}"/>
  </bookViews>
  <sheets>
    <sheet name="Tabelle1" sheetId="1" r:id="rId1"/>
    <sheet name="Tabelle4" sheetId="4" r:id="rId2"/>
    <sheet name="Tabelle2" sheetId="2" r:id="rId3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8" i="4" l="1"/>
  <c r="G8" i="4"/>
  <c r="H8" i="4"/>
  <c r="F9" i="4"/>
  <c r="G9" i="4"/>
  <c r="H9" i="4"/>
  <c r="G7" i="4"/>
  <c r="H7" i="4"/>
  <c r="F7" i="4"/>
  <c r="C11" i="4"/>
  <c r="D11" i="4"/>
  <c r="B11" i="4"/>
  <c r="D9" i="4"/>
  <c r="D8" i="4"/>
  <c r="D7" i="4"/>
  <c r="C9" i="4"/>
  <c r="C8" i="4"/>
  <c r="C7" i="4"/>
  <c r="B9" i="4"/>
  <c r="B8" i="4"/>
  <c r="B7" i="4"/>
</calcChain>
</file>

<file path=xl/sharedStrings.xml><?xml version="1.0" encoding="utf-8"?>
<sst xmlns="http://schemas.openxmlformats.org/spreadsheetml/2006/main" count="68" uniqueCount="25">
  <si>
    <t>Kis 4</t>
  </si>
  <si>
    <t>Claude 1</t>
  </si>
  <si>
    <t>Claude 2</t>
  </si>
  <si>
    <t>Claude 3</t>
  </si>
  <si>
    <t>Claude 4</t>
  </si>
  <si>
    <t>Claude 5</t>
  </si>
  <si>
    <t>Codex 1</t>
  </si>
  <si>
    <t>Codex 2</t>
  </si>
  <si>
    <t>Codex 3</t>
  </si>
  <si>
    <t>Codex 4</t>
  </si>
  <si>
    <t>Codex 5</t>
  </si>
  <si>
    <t>Gemini 1</t>
  </si>
  <si>
    <t>Gemini 2</t>
  </si>
  <si>
    <t>Gemini 3</t>
  </si>
  <si>
    <t>Gemini 4</t>
  </si>
  <si>
    <t>Gemini 5</t>
  </si>
  <si>
    <t>Code Coverage</t>
  </si>
  <si>
    <t>Pass Rate</t>
  </si>
  <si>
    <t>Anzahl Tests</t>
  </si>
  <si>
    <t>Qualitative Code Analyse</t>
  </si>
  <si>
    <t>Testrelevanz und Edge Case</t>
  </si>
  <si>
    <t>Anforderungserfüllung</t>
  </si>
  <si>
    <t xml:space="preserve">Claude </t>
  </si>
  <si>
    <t>Codex</t>
  </si>
  <si>
    <t>Gemini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</si>
</sst>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0" fontId="0" fillId="2" borderId="0" xfId="0" applyFill="1"/>
    <xf numFmtId="0" fontId="0" fillId="2" borderId="0" xfId="0" applyFill="1" applyAlignment="1">
      <alignment horizontal="right"/>
    </xf>
    <xf numFmtId="2" fontId="0" fillId="0" borderId="0" xfId="0" applyNumberFormat="1"/>
    <xf numFmtId="2" fontId="0" fillId="2" borderId="0" xfId="0" applyNumberForma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Coverage / Passrate pro Versuch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Tabelle1!$A$3</c:f>
              <c:strCache>
                <c:ptCount val="1"/>
                <c:pt idx="0">
                  <c:v>Code Coverage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Tabelle1!$B$2:$P$2</c:f>
              <c:strCache>
                <c:ptCount val="15"/>
                <c:pt idx="0">
                  <c:v>Claude 1</c:v>
                </c:pt>
                <c:pt idx="1">
                  <c:v>Claude 2</c:v>
                </c:pt>
                <c:pt idx="2">
                  <c:v>Claude 3</c:v>
                </c:pt>
                <c:pt idx="3">
                  <c:v>Claude 4</c:v>
                </c:pt>
                <c:pt idx="4">
                  <c:v>Claude 5</c:v>
                </c:pt>
                <c:pt idx="5">
                  <c:v>Codex 1</c:v>
                </c:pt>
                <c:pt idx="6">
                  <c:v>Codex 2</c:v>
                </c:pt>
                <c:pt idx="7">
                  <c:v>Codex 3</c:v>
                </c:pt>
                <c:pt idx="8">
                  <c:v>Codex 4</c:v>
                </c:pt>
                <c:pt idx="9">
                  <c:v>Codex 5</c:v>
                </c:pt>
                <c:pt idx="10">
                  <c:v>Gemini 1</c:v>
                </c:pt>
                <c:pt idx="11">
                  <c:v>Gemini 2</c:v>
                </c:pt>
                <c:pt idx="12">
                  <c:v>Gemini 3</c:v>
                </c:pt>
                <c:pt idx="13">
                  <c:v>Gemini 4</c:v>
                </c:pt>
                <c:pt idx="14">
                  <c:v>Gemini 5</c:v>
                </c:pt>
              </c:strCache>
            </c:strRef>
          </c:cat>
          <c:val>
            <c:numRef>
              <c:f>Tabelle1!$B$3:$P$3</c:f>
              <c:numCache>
                <c:formatCode>General</c:formatCode>
                <c:ptCount val="15"/>
                <c:pt idx="0">
                  <c:v>0.98680000000000001</c:v>
                </c:pt>
                <c:pt idx="1">
                  <c:v>0.98680000000000001</c:v>
                </c:pt>
                <c:pt idx="2">
                  <c:v>0.98680000000000001</c:v>
                </c:pt>
                <c:pt idx="3">
                  <c:v>0.98680000000000001</c:v>
                </c:pt>
                <c:pt idx="4">
                  <c:v>0.98799999999999999</c:v>
                </c:pt>
                <c:pt idx="5">
                  <c:v>0.98860000000000003</c:v>
                </c:pt>
                <c:pt idx="6">
                  <c:v>0.98960000000000004</c:v>
                </c:pt>
                <c:pt idx="7">
                  <c:v>1</c:v>
                </c:pt>
                <c:pt idx="8">
                  <c:v>0.98860000000000003</c:v>
                </c:pt>
                <c:pt idx="9">
                  <c:v>0.98540000000000005</c:v>
                </c:pt>
                <c:pt idx="10" formatCode="0.00">
                  <c:v>0.89470000000000005</c:v>
                </c:pt>
                <c:pt idx="11" formatCode="0.00">
                  <c:v>0.93420000000000003</c:v>
                </c:pt>
                <c:pt idx="12" formatCode="0.00">
                  <c:v>1</c:v>
                </c:pt>
                <c:pt idx="13" formatCode="0.00">
                  <c:v>1</c:v>
                </c:pt>
                <c:pt idx="14" formatCode="0.0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C8-4990-AF53-03189BFAEB2C}"/>
            </c:ext>
          </c:extLst>
        </c:ser>
        <c:ser>
          <c:idx val="1"/>
          <c:order val="1"/>
          <c:tx>
            <c:strRef>
              <c:f>Tabelle1!$A$4</c:f>
              <c:strCache>
                <c:ptCount val="1"/>
                <c:pt idx="0">
                  <c:v>Pass 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Tabelle1!$B$2:$P$2</c:f>
              <c:strCache>
                <c:ptCount val="15"/>
                <c:pt idx="0">
                  <c:v>Claude 1</c:v>
                </c:pt>
                <c:pt idx="1">
                  <c:v>Claude 2</c:v>
                </c:pt>
                <c:pt idx="2">
                  <c:v>Claude 3</c:v>
                </c:pt>
                <c:pt idx="3">
                  <c:v>Claude 4</c:v>
                </c:pt>
                <c:pt idx="4">
                  <c:v>Claude 5</c:v>
                </c:pt>
                <c:pt idx="5">
                  <c:v>Codex 1</c:v>
                </c:pt>
                <c:pt idx="6">
                  <c:v>Codex 2</c:v>
                </c:pt>
                <c:pt idx="7">
                  <c:v>Codex 3</c:v>
                </c:pt>
                <c:pt idx="8">
                  <c:v>Codex 4</c:v>
                </c:pt>
                <c:pt idx="9">
                  <c:v>Codex 5</c:v>
                </c:pt>
                <c:pt idx="10">
                  <c:v>Gemini 1</c:v>
                </c:pt>
                <c:pt idx="11">
                  <c:v>Gemini 2</c:v>
                </c:pt>
                <c:pt idx="12">
                  <c:v>Gemini 3</c:v>
                </c:pt>
                <c:pt idx="13">
                  <c:v>Gemini 4</c:v>
                </c:pt>
                <c:pt idx="14">
                  <c:v>Gemini 5</c:v>
                </c:pt>
              </c:strCache>
            </c:strRef>
          </c:cat>
          <c:val>
            <c:numRef>
              <c:f>Tabelle1!$B$4:$P$4</c:f>
              <c:numCache>
                <c:formatCode>General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 formatCode="0.00">
                  <c:v>1</c:v>
                </c:pt>
                <c:pt idx="11" formatCode="0.00">
                  <c:v>1</c:v>
                </c:pt>
                <c:pt idx="12" formatCode="0.00">
                  <c:v>1</c:v>
                </c:pt>
                <c:pt idx="13" formatCode="0.00">
                  <c:v>1</c:v>
                </c:pt>
                <c:pt idx="14" formatCode="0.0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C8-4990-AF53-03189BFAEB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1670255"/>
        <c:axId val="1091669295"/>
      </c:barChart>
      <c:catAx>
        <c:axId val="1091670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91669295"/>
        <c:crosses val="autoZero"/>
        <c:auto val="1"/>
        <c:lblAlgn val="ctr"/>
        <c:lblOffset val="100"/>
        <c:noMultiLvlLbl val="0"/>
      </c:catAx>
      <c:valAx>
        <c:axId val="1091669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91670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AT"/>
              <a:t>Durchschnittsnoten per LLM/Metrik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Tabelle4!$A$7</c:f>
              <c:strCache>
                <c:ptCount val="1"/>
                <c:pt idx="0">
                  <c:v>Qualitative Code Analyse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Tabelle4!$B$6:$D$6</c:f>
              <c:strCache>
                <c:ptCount val="3"/>
                <c:pt idx="0">
                  <c:v>Claude </c:v>
                </c:pt>
                <c:pt idx="1">
                  <c:v>Codex</c:v>
                </c:pt>
                <c:pt idx="2">
                  <c:v>Gemini</c:v>
                </c:pt>
              </c:strCache>
            </c:strRef>
          </c:cat>
          <c:val>
            <c:numRef>
              <c:f>Tabelle4!$B$7:$D$7</c:f>
              <c:numCache>
                <c:formatCode>General</c:formatCode>
                <c:ptCount val="3"/>
                <c:pt idx="0">
                  <c:v>1.8</c:v>
                </c:pt>
                <c:pt idx="1">
                  <c:v>1.8</c:v>
                </c:pt>
                <c:pt idx="2">
                  <c:v>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5D-4370-9E96-9EDE42E3DB7B}"/>
            </c:ext>
          </c:extLst>
        </c:ser>
        <c:ser>
          <c:idx val="1"/>
          <c:order val="1"/>
          <c:tx>
            <c:strRef>
              <c:f>Tabelle4!$A$8</c:f>
              <c:strCache>
                <c:ptCount val="1"/>
                <c:pt idx="0">
                  <c:v>Testrelevanz und Edge Case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Tabelle4!$B$6:$D$6</c:f>
              <c:strCache>
                <c:ptCount val="3"/>
                <c:pt idx="0">
                  <c:v>Claude </c:v>
                </c:pt>
                <c:pt idx="1">
                  <c:v>Codex</c:v>
                </c:pt>
                <c:pt idx="2">
                  <c:v>Gemini</c:v>
                </c:pt>
              </c:strCache>
            </c:strRef>
          </c:cat>
          <c:val>
            <c:numRef>
              <c:f>Tabelle4!$B$8:$D$8</c:f>
              <c:numCache>
                <c:formatCode>General</c:formatCode>
                <c:ptCount val="3"/>
                <c:pt idx="0">
                  <c:v>2.6</c:v>
                </c:pt>
                <c:pt idx="1">
                  <c:v>3</c:v>
                </c:pt>
                <c:pt idx="2">
                  <c:v>2.2000000000000002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5D-4370-9E96-9EDE42E3DB7B}"/>
            </c:ext>
          </c:extLst>
        </c:ser>
        <c:ser>
          <c:idx val="2"/>
          <c:order val="2"/>
          <c:tx>
            <c:strRef>
              <c:f>Tabelle4!$A$9</c:f>
              <c:strCache>
                <c:ptCount val="1"/>
                <c:pt idx="0">
                  <c:v>Anforderungserfüllung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Tabelle4!$B$6:$D$6</c:f>
              <c:strCache>
                <c:ptCount val="3"/>
                <c:pt idx="0">
                  <c:v>Claude </c:v>
                </c:pt>
                <c:pt idx="1">
                  <c:v>Codex</c:v>
                </c:pt>
                <c:pt idx="2">
                  <c:v>Gemini</c:v>
                </c:pt>
              </c:strCache>
            </c:strRef>
          </c:cat>
          <c:val>
            <c:numRef>
              <c:f>Tabelle4!$B$9:$D$9</c:f>
              <c:numCache>
                <c:formatCode>General</c:formatCode>
                <c:ptCount val="3"/>
                <c:pt idx="0">
                  <c:v>2</c:v>
                </c:pt>
                <c:pt idx="1">
                  <c:v>2.2000000000000002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5D-4370-9E96-9EDE42E3DB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0702799"/>
        <c:axId val="1200701359"/>
      </c:barChart>
      <c:catAx>
        <c:axId val="1200702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00701359"/>
        <c:crosses val="autoZero"/>
        <c:auto val="1"/>
        <c:lblAlgn val="ctr"/>
        <c:lblOffset val="100"/>
        <c:noMultiLvlLbl val="0"/>
      </c:catAx>
      <c:valAx>
        <c:axId val="1200701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00702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257175</xdr:colOff>
      <xdr:row>12</xdr:row>
      <xdr:rowOff>95249</xdr:rowOff>
    </xdr:from>
    <xdr:to>
      <xdr:col>8</xdr:col>
      <xdr:colOff>257175</xdr:colOff>
      <xdr:row>27</xdr:row>
      <xdr:rowOff>123824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8C3BEEDD-DB27-7FCB-99EE-4490957238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95249</xdr:colOff>
      <xdr:row>10</xdr:row>
      <xdr:rowOff>47624</xdr:rowOff>
    </xdr:from>
    <xdr:to>
      <xdr:col>11</xdr:col>
      <xdr:colOff>95249</xdr:colOff>
      <xdr:row>25</xdr:row>
      <xdr:rowOff>76199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1CFC0A3-3508-582B-6822-30C5C8279A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3F25E-CB35-427C-ADA4-4CC5DFF5ADD7}">
  <dimension ref="A1:P8"/>
  <sheetViews>
    <sheetView tabSelected="1" workbookViewId="0">
      <selection activeCell="P17" sqref="P17"/>
    </sheetView>
  </sheetViews>
  <sheetFormatPr baseColWidth="10" defaultColWidth="11.3984375" defaultRowHeight="14.25" x14ac:dyDescent="0.45"/>
  <cols>
    <col min="1" max="1" width="24.265625" customWidth="1"/>
  </cols>
  <sheetData>
    <row r="1" spans="1:16" x14ac:dyDescent="0.45">
      <c r="A1" t="s">
        <v>0</v>
      </c>
    </row>
    <row r="2" spans="1:16" x14ac:dyDescent="0.45">
      <c r="B2" t="s">
        <v>1</v>
      </c>
      <c r="C2" t="s">
        <v>2</v>
      </c>
      <c r="D2" t="s">
        <v>3</v>
      </c>
      <c r="E2" t="s">
        <v>4</v>
      </c>
      <c r="F2" s="2" t="s">
        <v>5</v>
      </c>
      <c r="G2" t="s">
        <v>6</v>
      </c>
      <c r="H2" t="s">
        <v>7</v>
      </c>
      <c r="I2" s="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s="2" t="s">
        <v>15</v>
      </c>
    </row>
    <row r="3" spans="1:16" x14ac:dyDescent="0.45">
      <c r="A3" t="s">
        <v>16</v>
      </c>
      <c r="B3" s="1">
        <v>0.98680000000000001</v>
      </c>
      <c r="C3" s="1">
        <v>0.98680000000000001</v>
      </c>
      <c r="D3" s="1">
        <v>0.98680000000000001</v>
      </c>
      <c r="E3" s="1">
        <v>0.98680000000000001</v>
      </c>
      <c r="F3" s="3">
        <v>0.98799999999999999</v>
      </c>
      <c r="G3" s="1">
        <v>0.98860000000000003</v>
      </c>
      <c r="H3" s="1">
        <v>0.98960000000000004</v>
      </c>
      <c r="I3" s="3">
        <v>1</v>
      </c>
      <c r="J3" s="1">
        <v>0.98860000000000003</v>
      </c>
      <c r="K3" s="1">
        <v>0.98540000000000005</v>
      </c>
      <c r="L3" s="4">
        <v>0.89470000000000005</v>
      </c>
      <c r="M3" s="4">
        <v>0.93420000000000003</v>
      </c>
      <c r="N3" s="4">
        <v>1</v>
      </c>
      <c r="O3" s="4">
        <v>1</v>
      </c>
      <c r="P3" s="5">
        <v>1</v>
      </c>
    </row>
    <row r="4" spans="1:16" x14ac:dyDescent="0.45">
      <c r="A4" t="s">
        <v>17</v>
      </c>
      <c r="B4" s="1">
        <v>1</v>
      </c>
      <c r="C4" s="1">
        <v>1</v>
      </c>
      <c r="D4" s="1">
        <v>1</v>
      </c>
      <c r="E4" s="1">
        <v>1</v>
      </c>
      <c r="F4" s="3">
        <v>1</v>
      </c>
      <c r="G4" s="1">
        <v>1</v>
      </c>
      <c r="H4" s="1">
        <v>1</v>
      </c>
      <c r="I4" s="3">
        <v>1</v>
      </c>
      <c r="J4" s="1">
        <v>1</v>
      </c>
      <c r="K4" s="1">
        <v>1</v>
      </c>
      <c r="L4" s="4">
        <v>1</v>
      </c>
      <c r="M4" s="4">
        <v>1</v>
      </c>
      <c r="N4" s="4">
        <v>1</v>
      </c>
      <c r="O4" s="4">
        <v>1</v>
      </c>
      <c r="P4" s="5">
        <v>1</v>
      </c>
    </row>
    <row r="5" spans="1:16" x14ac:dyDescent="0.45">
      <c r="A5" t="s">
        <v>18</v>
      </c>
      <c r="B5">
        <v>23</v>
      </c>
      <c r="C5">
        <v>76</v>
      </c>
      <c r="D5">
        <v>81</v>
      </c>
      <c r="E5">
        <v>56</v>
      </c>
      <c r="F5" s="2">
        <v>103</v>
      </c>
      <c r="G5">
        <v>7</v>
      </c>
      <c r="H5">
        <v>12</v>
      </c>
      <c r="I5" s="2">
        <v>14</v>
      </c>
      <c r="J5">
        <v>12</v>
      </c>
      <c r="K5">
        <v>14</v>
      </c>
      <c r="L5">
        <v>10</v>
      </c>
      <c r="M5">
        <v>18</v>
      </c>
      <c r="N5">
        <v>25</v>
      </c>
      <c r="O5">
        <v>30</v>
      </c>
      <c r="P5" s="2">
        <v>31</v>
      </c>
    </row>
    <row r="6" spans="1:16" x14ac:dyDescent="0.45">
      <c r="A6" t="s">
        <v>19</v>
      </c>
      <c r="B6">
        <v>3</v>
      </c>
      <c r="C6">
        <v>2</v>
      </c>
      <c r="D6">
        <v>2</v>
      </c>
      <c r="E6">
        <v>1</v>
      </c>
      <c r="F6" s="2">
        <v>1</v>
      </c>
      <c r="G6">
        <v>3</v>
      </c>
      <c r="H6">
        <v>2</v>
      </c>
      <c r="I6" s="2">
        <v>1</v>
      </c>
      <c r="J6">
        <v>2</v>
      </c>
      <c r="K6">
        <v>1</v>
      </c>
      <c r="L6">
        <v>3</v>
      </c>
      <c r="M6">
        <v>2</v>
      </c>
      <c r="N6">
        <v>1</v>
      </c>
      <c r="O6">
        <v>1</v>
      </c>
      <c r="P6" s="2">
        <v>1</v>
      </c>
    </row>
    <row r="7" spans="1:16" x14ac:dyDescent="0.45">
      <c r="A7" t="s">
        <v>20</v>
      </c>
      <c r="B7">
        <v>4</v>
      </c>
      <c r="C7">
        <v>3</v>
      </c>
      <c r="D7">
        <v>3</v>
      </c>
      <c r="E7">
        <v>2</v>
      </c>
      <c r="F7" s="2">
        <v>1</v>
      </c>
      <c r="G7">
        <v>5</v>
      </c>
      <c r="H7">
        <v>4</v>
      </c>
      <c r="I7" s="2">
        <v>2</v>
      </c>
      <c r="J7">
        <v>3</v>
      </c>
      <c r="K7">
        <v>1</v>
      </c>
      <c r="L7">
        <v>5</v>
      </c>
      <c r="M7">
        <v>3</v>
      </c>
      <c r="N7">
        <v>1</v>
      </c>
      <c r="O7">
        <v>1</v>
      </c>
      <c r="P7" s="2">
        <v>1</v>
      </c>
    </row>
    <row r="8" spans="1:16" x14ac:dyDescent="0.45">
      <c r="A8" t="s">
        <v>21</v>
      </c>
      <c r="B8">
        <v>3</v>
      </c>
      <c r="C8">
        <v>3</v>
      </c>
      <c r="D8">
        <v>2</v>
      </c>
      <c r="E8">
        <v>1</v>
      </c>
      <c r="F8" s="2">
        <v>1</v>
      </c>
      <c r="G8">
        <v>2</v>
      </c>
      <c r="H8">
        <v>1</v>
      </c>
      <c r="I8" s="2">
        <v>2</v>
      </c>
      <c r="J8">
        <v>2</v>
      </c>
      <c r="K8">
        <v>4</v>
      </c>
      <c r="L8">
        <v>4</v>
      </c>
      <c r="M8">
        <v>2</v>
      </c>
      <c r="N8">
        <v>1</v>
      </c>
      <c r="O8">
        <v>1</v>
      </c>
      <c r="P8" s="2">
        <v>1</v>
      </c>
    </row>
  </sheetData>
  <phoneticPr fontId="1" type="noConversion"/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249E0-10BA-43DA-83AE-E1CCAD668FD2}">
  <dimension ref="A1:P20"/>
  <sheetViews>
    <sheetView workbookViewId="0">
      <selection activeCell="A17" sqref="A17:D20"/>
    </sheetView>
  </sheetViews>
  <sheetFormatPr baseColWidth="10" defaultColWidth="11.3984375" defaultRowHeight="14.25" x14ac:dyDescent="0.45"/>
  <cols>
    <col min="1" max="1" width="23.59765625" bestFit="1" customWidth="1"/>
  </cols>
  <sheetData>
    <row r="1" spans="1:16" x14ac:dyDescent="0.45"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2" t="s">
        <v>15</v>
      </c>
    </row>
    <row r="2" spans="1:16" x14ac:dyDescent="0.45">
      <c r="A2" t="s">
        <v>19</v>
      </c>
      <c r="B2">
        <v>3</v>
      </c>
      <c r="C2">
        <v>2</v>
      </c>
      <c r="D2">
        <v>2</v>
      </c>
      <c r="E2">
        <v>1</v>
      </c>
      <c r="F2" s="2">
        <v>1</v>
      </c>
      <c r="G2">
        <v>3</v>
      </c>
      <c r="H2">
        <v>2</v>
      </c>
      <c r="I2" s="2">
        <v>1</v>
      </c>
      <c r="J2">
        <v>2</v>
      </c>
      <c r="K2">
        <v>1</v>
      </c>
      <c r="L2">
        <v>3</v>
      </c>
      <c r="M2">
        <v>2</v>
      </c>
      <c r="N2">
        <v>2</v>
      </c>
      <c r="O2">
        <v>1</v>
      </c>
      <c r="P2" s="2">
        <v>1</v>
      </c>
    </row>
    <row r="3" spans="1:16" x14ac:dyDescent="0.45">
      <c r="A3" t="s">
        <v>20</v>
      </c>
      <c r="B3">
        <v>4</v>
      </c>
      <c r="C3">
        <v>3</v>
      </c>
      <c r="D3">
        <v>3</v>
      </c>
      <c r="E3">
        <v>2</v>
      </c>
      <c r="F3" s="2">
        <v>1</v>
      </c>
      <c r="G3">
        <v>5</v>
      </c>
      <c r="H3">
        <v>4</v>
      </c>
      <c r="I3" s="2">
        <v>2</v>
      </c>
      <c r="J3">
        <v>3</v>
      </c>
      <c r="K3">
        <v>1</v>
      </c>
      <c r="L3">
        <v>5</v>
      </c>
      <c r="M3">
        <v>3</v>
      </c>
      <c r="N3">
        <v>1</v>
      </c>
      <c r="O3">
        <v>1</v>
      </c>
      <c r="P3" s="2">
        <v>1</v>
      </c>
    </row>
    <row r="4" spans="1:16" x14ac:dyDescent="0.45">
      <c r="A4" t="s">
        <v>21</v>
      </c>
      <c r="B4">
        <v>3</v>
      </c>
      <c r="C4">
        <v>3</v>
      </c>
      <c r="D4">
        <v>2</v>
      </c>
      <c r="E4">
        <v>1</v>
      </c>
      <c r="F4" s="2">
        <v>1</v>
      </c>
      <c r="G4">
        <v>2</v>
      </c>
      <c r="H4">
        <v>1</v>
      </c>
      <c r="I4" s="2">
        <v>2</v>
      </c>
      <c r="J4">
        <v>2</v>
      </c>
      <c r="K4">
        <v>4</v>
      </c>
      <c r="L4">
        <v>4</v>
      </c>
      <c r="M4">
        <v>2</v>
      </c>
      <c r="N4">
        <v>2</v>
      </c>
      <c r="O4">
        <v>1</v>
      </c>
      <c r="P4" s="2">
        <v>1</v>
      </c>
    </row>
    <row r="6" spans="1:16" x14ac:dyDescent="0.45">
      <c r="B6" t="s">
        <v>22</v>
      </c>
      <c r="C6" t="s">
        <v>23</v>
      </c>
      <c r="D6" t="s">
        <v>24</v>
      </c>
    </row>
    <row r="7" spans="1:16" x14ac:dyDescent="0.45">
      <c r="A7" t="s">
        <v>19</v>
      </c>
      <c r="B7">
        <f>AVERAGE(B2:F2)</f>
        <v>1.8</v>
      </c>
      <c r="C7">
        <f>AVERAGE(G2:K2)</f>
        <v>1.8</v>
      </c>
      <c r="D7">
        <f>AVERAGE(L2:P2)</f>
        <v>1.8</v>
      </c>
      <c r="F7">
        <f>5-B7</f>
        <v>3.2</v>
      </c>
      <c r="G7">
        <f t="shared" ref="G7:H7" si="0">5-C7</f>
        <v>3.2</v>
      </c>
      <c r="H7">
        <f t="shared" si="0"/>
        <v>3.2</v>
      </c>
    </row>
    <row r="8" spans="1:16" x14ac:dyDescent="0.45">
      <c r="A8" t="s">
        <v>20</v>
      </c>
      <c r="B8">
        <f>AVERAGE(B3:F3)</f>
        <v>2.6</v>
      </c>
      <c r="C8">
        <f>AVERAGE(G3:K3)</f>
        <v>3</v>
      </c>
      <c r="D8">
        <f>AVERAGE(L3:P3)</f>
        <v>2.2000000000000002</v>
      </c>
      <c r="F8">
        <f t="shared" ref="F8:F9" si="1">5-B8</f>
        <v>2.4</v>
      </c>
      <c r="G8">
        <f t="shared" ref="G8:G9" si="2">5-C8</f>
        <v>2</v>
      </c>
      <c r="H8">
        <f t="shared" ref="H8:H9" si="3">5-D8</f>
        <v>2.8</v>
      </c>
    </row>
    <row r="9" spans="1:16" x14ac:dyDescent="0.45">
      <c r="A9" t="s">
        <v>21</v>
      </c>
      <c r="B9">
        <f>AVERAGE(B4:F4)</f>
        <v>2</v>
      </c>
      <c r="C9">
        <f>AVERAGE(G4:K4)</f>
        <v>2.2000000000000002</v>
      </c>
      <c r="D9">
        <f>AVERAGE(L4:P4)</f>
        <v>2</v>
      </c>
      <c r="F9">
        <f t="shared" si="1"/>
        <v>3</v>
      </c>
      <c r="G9">
        <f t="shared" si="2"/>
        <v>2.8</v>
      </c>
      <c r="H9">
        <f t="shared" si="3"/>
        <v>3</v>
      </c>
    </row>
    <row r="11" spans="1:16" x14ac:dyDescent="0.45">
      <c r="B11">
        <f>AVERAGE(B7:B9)</f>
        <v>2.1333333333333333</v>
      </c>
      <c r="C11">
        <f t="shared" ref="C11:D11" si="4">AVERAGE(C7:C9)</f>
        <v>2.3333333333333335</v>
      </c>
      <c r="D11">
        <f t="shared" si="4"/>
        <v>2</v>
      </c>
    </row>
    <row r="17" spans="1:4" x14ac:dyDescent="0.45">
      <c r="B17" t="s">
        <v>22</v>
      </c>
      <c r="C17" t="s">
        <v>23</v>
      </c>
      <c r="D17" t="s">
        <v>24</v>
      </c>
    </row>
    <row r="18" spans="1:4" x14ac:dyDescent="0.45">
      <c r="A18" t="s">
        <v>19</v>
      </c>
      <c r="B18">
        <v>3.2</v>
      </c>
      <c r="C18">
        <v>3.2</v>
      </c>
      <c r="D18">
        <v>3.2</v>
      </c>
    </row>
    <row r="19" spans="1:4" x14ac:dyDescent="0.45">
      <c r="A19" t="s">
        <v>20</v>
      </c>
      <c r="B19">
        <v>2.4</v>
      </c>
      <c r="C19">
        <v>2</v>
      </c>
      <c r="D19">
        <v>2.8</v>
      </c>
    </row>
    <row r="20" spans="1:4" x14ac:dyDescent="0.45">
      <c r="A20" t="s">
        <v>21</v>
      </c>
      <c r="B20">
        <v>3</v>
      </c>
      <c r="C20">
        <v>2.8</v>
      </c>
      <c r="D20">
        <v>3</v>
      </c>
    </row>
  </sheetData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B79DD-31C8-452C-953C-84778E589214}">
  <dimension ref="A1:P3"/>
  <sheetViews>
    <sheetView workbookViewId="0">
      <selection activeCell="H17" sqref="H17"/>
    </sheetView>
  </sheetViews>
  <sheetFormatPr baseColWidth="10" defaultColWidth="11.3984375" defaultRowHeight="14.25" x14ac:dyDescent="0.45"/>
  <sheetData>
    <row r="1" spans="1:16" x14ac:dyDescent="0.45"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45">
      <c r="A2" t="s">
        <v>18</v>
      </c>
      <c r="B2">
        <v>23</v>
      </c>
      <c r="C2">
        <v>76</v>
      </c>
      <c r="D2">
        <v>81</v>
      </c>
      <c r="E2">
        <v>56</v>
      </c>
      <c r="F2">
        <v>103</v>
      </c>
      <c r="G2">
        <v>7</v>
      </c>
      <c r="H2">
        <v>12</v>
      </c>
      <c r="I2">
        <v>14</v>
      </c>
      <c r="J2">
        <v>12</v>
      </c>
      <c r="K2">
        <v>14</v>
      </c>
      <c r="L2">
        <v>10</v>
      </c>
      <c r="M2">
        <v>18</v>
      </c>
      <c r="N2">
        <v>25</v>
      </c>
      <c r="O2">
        <v>30</v>
      </c>
      <c r="P2">
        <v>31</v>
      </c>
    </row>
    <row r="3" spans="1:16" x14ac:dyDescent="0.45">
      <c r="B3" s="1"/>
      <c r="C3" s="1"/>
      <c r="D3" s="1"/>
      <c r="E3" s="1"/>
      <c r="F3" s="1"/>
      <c r="G3" s="1"/>
      <c r="H3" s="1"/>
      <c r="I3" s="1"/>
      <c r="J3" s="1"/>
      <c r="K3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Tabelle4</vt:lpstr>
      <vt:lpstr>Tabelle2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Sanin Zimic</dc:creator>
  <cp:keywords/>
  <dc:description/>
  <cp:lastModifiedBy>Zimic Sanin - s2410307049</cp:lastModifiedBy>
  <cp:revision/>
  <dcterms:created xsi:type="dcterms:W3CDTF">2026-06-18T16:17:19Z</dcterms:created>
  <dcterms:modified xsi:type="dcterms:W3CDTF">2026-06-20T11:09:08Z</dcterms:modified>
  <cp:category/>
  <cp:contentStatus/>
</cp:coreProperties>
</file>